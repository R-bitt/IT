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ЗП" sheetId="1" state="visible" r:id="rId1"/>
    <sheet name="Товары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<sst xmlns="http://schemas.openxmlformats.org/spreadsheetml/2006/main" count="29" uniqueCount="29">
  <si>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 xml:space="preserve">ФИО сотрудника</t>
  </si>
  <si>
    <t xml:space="preserve">Оклад (руб.)</t>
  </si>
  <si>
    <t xml:space="preserve">Премия (%)</t>
  </si>
  <si>
    <t xml:space="preserve">Премия (руб.)</t>
  </si>
  <si>
    <t xml:space="preserve">НДФЛ (13%)</t>
  </si>
  <si>
    <t xml:space="preserve">К выдаче</t>
  </si>
  <si>
    <t xml:space="preserve">№ п/п</t>
  </si>
  <si>
    <t xml:space="preserve">Ставка НДФЛ:</t>
  </si>
  <si>
    <t xml:space="preserve">Иванов И.И.</t>
  </si>
  <si>
    <t xml:space="preserve">Петров П.П.</t>
  </si>
  <si>
    <t xml:space="preserve">Сидоров С.С.</t>
  </si>
  <si>
    <t xml:space="preserve">Кузнецова К.К.</t>
  </si>
  <si>
    <t xml:space="preserve">Смирнов С.С.</t>
  </si>
  <si>
    <t>ИТОГО:</t>
  </si>
  <si>
    <t xml:space="preserve">Средняя зарплата:</t>
  </si>
  <si>
    <t>Максимум:</t>
  </si>
  <si>
    <t>Минимум:</t>
  </si>
  <si>
    <t>Товар</t>
  </si>
  <si>
    <t xml:space="preserve">Цена за ед.</t>
  </si>
  <si>
    <t>Кол-во</t>
  </si>
  <si>
    <t xml:space="preserve">Скидка %</t>
  </si>
  <si>
    <t>Стоимость</t>
  </si>
  <si>
    <t xml:space="preserve">Итого со скидкой</t>
  </si>
  <si>
    <t xml:space="preserve">НДС (руб.)</t>
  </si>
  <si>
    <t xml:space="preserve">Ставка НДС: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</si>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</sst>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\ [$₽-419]"/>
  </numFmts>
  <fonts count="3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b/>
      <sz val="11.000000"/>
      <color theme="0" tint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</patternFill>
    </fill>
    <fill>
      <patternFill patternType="solid">
        <fgColor indexed="5"/>
      </patternFill>
    </fill>
    <fill>
      <patternFill patternType="solid">
        <fgColor theme="4" tint="-0.499984740745262"/>
        <bgColor theme="4" tint="-0.499984740745262"/>
      </patternFill>
    </fill>
    <fill>
      <patternFill patternType="solid">
        <fgColor theme="4" tint="-0.249977111117893"/>
        <bgColor theme="4" tint="-0.249977111117893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164" xfId="0" applyNumberFormat="1"/>
    <xf fontId="0" fillId="0" borderId="0" numFmtId="0" xfId="0"/>
    <xf fontId="1" fillId="2" borderId="0" numFmtId="0" xfId="0" applyFont="1" applyFill="1" applyAlignment="1">
      <alignment horizontal="center"/>
    </xf>
    <xf fontId="1" fillId="2" borderId="0" numFmtId="164" xfId="0" applyNumberFormat="1" applyFont="1" applyFill="1" applyAlignment="1">
      <alignment horizontal="center"/>
    </xf>
    <xf fontId="0" fillId="3" borderId="0" numFmtId="0" xfId="0" applyFill="1"/>
    <xf fontId="2" fillId="4" borderId="0" numFmtId="0" xfId="0" applyFont="1" applyFill="1"/>
    <xf fontId="2" fillId="5" borderId="0" numFmt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2" activeCellId="0" sqref="G2"/>
    </sheetView>
  </sheetViews>
  <sheetFormatPr defaultRowHeight="14.5"/>
  <cols>
    <col customWidth="1" min="1" max="1" width="19.6328125"/>
    <col customWidth="1" min="2" max="2" style="1" width="20.6328125"/>
    <col customWidth="1" min="3" max="3" width="15.6328125"/>
    <col customWidth="1" min="4" max="4" style="1" width="14.36328125"/>
    <col customWidth="1" min="5" max="5" style="1" width="20.26953125"/>
    <col customWidth="1" min="6" max="6" style="1" width="16.81640625"/>
    <col customWidth="1" min="7" max="7" style="2" width="17.26953125"/>
    <col customWidth="1" min="8" max="8" width="14"/>
  </cols>
  <sheetData>
    <row r="1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t="s">
        <v>7</v>
      </c>
    </row>
    <row r="2">
      <c r="A2" t="s">
        <v>8</v>
      </c>
      <c r="B2" s="1">
        <v>50000</v>
      </c>
      <c r="C2">
        <v>20</v>
      </c>
      <c r="D2" s="1">
        <f t="shared" ref="D2:D6" si="0">B2*C2/100</f>
        <v>10000</v>
      </c>
      <c r="E2" s="1">
        <f>(B2+D2)*$H$2</f>
        <v>7800</v>
      </c>
      <c r="F2" s="1">
        <f>B2+D2-E2</f>
        <v>52200</v>
      </c>
      <c r="G2" s="2">
        <v>1</v>
      </c>
      <c r="H2" s="5">
        <v>0.13</v>
      </c>
    </row>
    <row r="3">
      <c r="A3" t="s">
        <v>9</v>
      </c>
      <c r="B3" s="1">
        <v>45000</v>
      </c>
      <c r="C3">
        <v>15</v>
      </c>
      <c r="D3" s="1">
        <f t="shared" si="0"/>
        <v>6750</v>
      </c>
      <c r="E3" s="1">
        <f>(B3+D3)*$H$2</f>
        <v>6727.5</v>
      </c>
      <c r="F3" s="1">
        <f>B3+D3-E3</f>
        <v>45022.5</v>
      </c>
      <c r="G3">
        <v>2</v>
      </c>
    </row>
    <row r="4">
      <c r="A4" t="s">
        <v>10</v>
      </c>
      <c r="B4" s="1">
        <v>62000</v>
      </c>
      <c r="C4">
        <v>25</v>
      </c>
      <c r="D4" s="1">
        <f t="shared" si="0"/>
        <v>15500</v>
      </c>
      <c r="E4" s="1">
        <f>(B4+D4)*$H$2</f>
        <v>10075</v>
      </c>
      <c r="F4" s="1">
        <f>B4+D4-E4</f>
        <v>67425</v>
      </c>
      <c r="G4">
        <v>3</v>
      </c>
    </row>
    <row r="5">
      <c r="A5" t="s">
        <v>11</v>
      </c>
      <c r="B5" s="1">
        <v>55000</v>
      </c>
      <c r="C5">
        <v>10</v>
      </c>
      <c r="D5" s="1">
        <f t="shared" si="0"/>
        <v>5500</v>
      </c>
      <c r="E5" s="1">
        <f>(B5+D5)*$H$2</f>
        <v>7865</v>
      </c>
      <c r="F5" s="1">
        <f>B5+D5-E5</f>
        <v>52635</v>
      </c>
      <c r="G5">
        <v>4</v>
      </c>
    </row>
    <row r="6">
      <c r="A6" t="s">
        <v>12</v>
      </c>
      <c r="B6" s="1">
        <v>40000</v>
      </c>
      <c r="C6">
        <v>30</v>
      </c>
      <c r="D6" s="1">
        <f t="shared" si="0"/>
        <v>12000</v>
      </c>
      <c r="E6" s="1">
        <f>(B6+D6)*$H$2</f>
        <v>6760</v>
      </c>
      <c r="F6" s="1">
        <f>B6+D6-E6</f>
        <v>45240</v>
      </c>
      <c r="G6">
        <v>5</v>
      </c>
    </row>
    <row r="7" ht="14.5">
      <c r="A7" s="6" t="s">
        <v>13</v>
      </c>
      <c r="B7" s="1">
        <f>SUM(B2:B6)</f>
        <v>252000</v>
      </c>
      <c r="C7">
        <f>SUM(C2:C6)</f>
        <v>100</v>
      </c>
      <c r="D7" s="1">
        <f>SUM(D2:D6)</f>
        <v>49750</v>
      </c>
      <c r="E7" s="1">
        <f>SUM(E2:E6)</f>
        <v>39227.5</v>
      </c>
      <c r="F7" s="1">
        <f>SUM(F2:F6)</f>
        <v>262522.5</v>
      </c>
    </row>
    <row r="9" ht="14.5">
      <c r="A9" s="6" t="s">
        <v>14</v>
      </c>
      <c r="B9" s="1">
        <f>AVERAGE(F2:F6)</f>
        <v>52504.5</v>
      </c>
    </row>
    <row r="10" ht="14.5">
      <c r="A10" s="6" t="s">
        <v>15</v>
      </c>
      <c r="B10" s="1">
        <f>MAX(F2:F6)</f>
        <v>67425</v>
      </c>
    </row>
    <row r="11" ht="14.5">
      <c r="A11" s="6" t="s">
        <v>16</v>
      </c>
      <c r="B11" s="1">
        <f>MIN(F2:F6)</f>
        <v>45022.5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120" verticalDpi="72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00390625"/>
    <col customWidth="1" min="2" max="2" width="15.7109375"/>
    <col customWidth="1" min="3" max="3" width="16.00390625"/>
    <col customWidth="1" min="4" max="4" width="15.00390625"/>
    <col customWidth="1" min="5" max="5" width="14.57421875"/>
    <col customWidth="1" min="6" max="6" width="17.8515625"/>
    <col customWidth="1" min="7" max="7" width="16.57421875"/>
    <col customWidth="1" min="8" max="8" width="17.421875"/>
  </cols>
  <sheetData>
    <row r="1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7" t="s">
        <v>24</v>
      </c>
    </row>
    <row r="2" ht="14.25">
      <c r="A2" t="s">
        <v>25</v>
      </c>
      <c r="B2">
        <v>45000</v>
      </c>
      <c r="C2">
        <v>5</v>
      </c>
      <c r="D2">
        <v>5</v>
      </c>
      <c r="E2">
        <f>B2*C2</f>
        <v>225000</v>
      </c>
      <c r="F2">
        <f>E2*(1-D2/100)</f>
        <v>213750</v>
      </c>
      <c r="G2">
        <f>E2*$H$2</f>
        <v>45000</v>
      </c>
      <c r="H2">
        <v>0.20000000000000001</v>
      </c>
    </row>
    <row r="3" ht="14.25">
      <c r="A3" t="s">
        <v>26</v>
      </c>
      <c r="B3">
        <v>18000</v>
      </c>
      <c r="C3">
        <v>10</v>
      </c>
      <c r="D3">
        <v>3</v>
      </c>
      <c r="E3">
        <f>B3*C3</f>
        <v>180000</v>
      </c>
      <c r="F3">
        <f>E3*(1-D3/100)</f>
        <v>174600</v>
      </c>
      <c r="G3">
        <f>E3*$H$2</f>
        <v>36000</v>
      </c>
    </row>
    <row r="4" ht="14.25">
      <c r="A4" t="s">
        <v>27</v>
      </c>
      <c r="B4">
        <v>1500</v>
      </c>
      <c r="C4">
        <v>25</v>
      </c>
      <c r="D4">
        <v>10</v>
      </c>
      <c r="E4">
        <f>B4*C4</f>
        <v>37500</v>
      </c>
      <c r="F4">
        <f>E4*(1-D4/100)</f>
        <v>33750</v>
      </c>
      <c r="G4">
        <f>E4*$H$2</f>
        <v>7500</v>
      </c>
    </row>
    <row r="5" ht="14.25">
      <c r="A5" t="s">
        <v>28</v>
      </c>
      <c r="B5">
        <v>800</v>
      </c>
      <c r="C5">
        <v>30</v>
      </c>
      <c r="D5">
        <v>7</v>
      </c>
      <c r="E5">
        <f>B5*C5</f>
        <v>24000</v>
      </c>
      <c r="F5">
        <f>E5*(1-D5/100)</f>
        <v>22320</v>
      </c>
      <c r="G5">
        <f>E5*$H$2</f>
        <v>4800</v>
      </c>
    </row>
    <row r="7" ht="14.25">
      <c r="A7" s="6" t="s">
        <v>13</v>
      </c>
      <c r="B7">
        <f>SUM(F2:F5)</f>
        <v>444420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2015-06-05T18:19:34Z</dcterms:created>
  <dcterms:modified xsi:type="dcterms:W3CDTF">2026-09-16T09:20:59Z</dcterms:modified>
</cp:coreProperties>
</file>