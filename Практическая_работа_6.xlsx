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Статистика" sheetId="1" state="visible" r:id="rId1"/>
    <sheet name="Товары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<sst xmlns="http://schemas.openxmlformats.org/spreadsheetml/2006/main" count="76" uniqueCount="76">
  <si>
    <t xml:space="preserve">Статистика успеваемости студентов группы по информатике</t>
  </si>
  <si>
    <t>№</t>
  </si>
  <si>
    <t xml:space="preserve">ФИО студента</t>
  </si>
  <si>
    <t xml:space="preserve">Балл 1 (тест)</t>
  </si>
  <si>
    <t xml:space="preserve">Балл 2 (практика)</t>
  </si>
  <si>
    <t xml:space="preserve">Балл 3 (проект)</t>
  </si>
  <si>
    <t xml:space="preserve">Сумма баллов</t>
  </si>
  <si>
    <t xml:space="preserve">Средний балл</t>
  </si>
  <si>
    <t>Оценка</t>
  </si>
  <si>
    <t>Ранг</t>
  </si>
  <si>
    <t xml:space="preserve">Иванов И.И.</t>
  </si>
  <si>
    <t xml:space="preserve">Петров П.П.</t>
  </si>
  <si>
    <t xml:space="preserve">Сидорова С.С.</t>
  </si>
  <si>
    <t xml:space="preserve">Кузнецов К.К.</t>
  </si>
  <si>
    <t xml:space="preserve">Смирнова С.С.</t>
  </si>
  <si>
    <t xml:space="preserve">Волков В.В.</t>
  </si>
  <si>
    <t xml:space="preserve">Морозова М.М.</t>
  </si>
  <si>
    <t xml:space="preserve">Новиков Н.Н.</t>
  </si>
  <si>
    <t xml:space="preserve">Фёдорова Ф.Ф.</t>
  </si>
  <si>
    <t xml:space="preserve">Егоров Е.Е.</t>
  </si>
  <si>
    <t xml:space="preserve">Павлова П.П.</t>
  </si>
  <si>
    <t xml:space="preserve">Соколов С.С.</t>
  </si>
  <si>
    <t xml:space="preserve">Лебедева Л.Л.</t>
  </si>
  <si>
    <t xml:space="preserve">Козлов К.К.</t>
  </si>
  <si>
    <t xml:space="preserve">Степанова С.С.</t>
  </si>
  <si>
    <t xml:space="preserve">ИТОГО / среднее по группе</t>
  </si>
  <si>
    <t xml:space="preserve">Статистические расчёты по столбцам «Сумма баллов» и «Средний балл»</t>
  </si>
  <si>
    <t>Показатель</t>
  </si>
  <si>
    <t xml:space="preserve">Сумма баллов (F)</t>
  </si>
  <si>
    <t xml:space="preserve">Средний балл (G)</t>
  </si>
  <si>
    <t xml:space="preserve">Балл 1 (C)</t>
  </si>
  <si>
    <t xml:space="preserve">Балл 2 (D)</t>
  </si>
  <si>
    <t xml:space="preserve">Балл 3 (E)</t>
  </si>
  <si>
    <t>Сумма</t>
  </si>
  <si>
    <t>Среднее</t>
  </si>
  <si>
    <t>Медиана</t>
  </si>
  <si>
    <t xml:space="preserve">Мода (— если нет повторов)</t>
  </si>
  <si>
    <t>Минимум</t>
  </si>
  <si>
    <t>Максимум</t>
  </si>
  <si>
    <t xml:space="preserve">Стандартное отклонение</t>
  </si>
  <si>
    <t>Дисперсия</t>
  </si>
  <si>
    <t xml:space="preserve">Количество (СЧЁТ)</t>
  </si>
  <si>
    <t xml:space="preserve">Корреляция «Балл 1» ↔ «Средний балл»</t>
  </si>
  <si>
    <t xml:space="preserve">Компания продаёт 15 видов товаров — анализ данных (выручка, категории, статистика)</t>
  </si>
  <si>
    <t>Товар</t>
  </si>
  <si>
    <t xml:space="preserve">Цена (руб.)</t>
  </si>
  <si>
    <t xml:space="preserve">Продано (шт.)</t>
  </si>
  <si>
    <t>Выручка</t>
  </si>
  <si>
    <t>Категория</t>
  </si>
  <si>
    <t xml:space="preserve">Доля в общей выручке, %</t>
  </si>
  <si>
    <t xml:space="preserve"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</si>
  <si>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</si>
  <si>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</si>
  <si>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</si>
  <si>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</si>
  <si>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</si>
  <si>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</si>
  <si>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 xml:space="preserve">Флешка 32ГБ</t>
  </si>
  <si>
    <t xml:space="preserve">Внешний HDD</t>
  </si>
  <si>
    <t>Веб-камера</t>
  </si>
  <si>
    <t>Наушники</t>
  </si>
  <si>
    <t xml:space="preserve">Коврик для мыши</t>
  </si>
  <si>
    <t>USB-хаб</t>
  </si>
  <si>
    <t>Картридж</t>
  </si>
  <si>
    <t xml:space="preserve">Бумага А4</t>
  </si>
  <si>
    <t>Роутер</t>
  </si>
  <si>
    <t>ИТОГО</t>
  </si>
  <si>
    <t xml:space="preserve">3. Статистика по выручке</t>
  </si>
  <si>
    <t xml:space="preserve">4. Расчёты по условию (категория «Топ» / «Средний»)</t>
  </si>
  <si>
    <t xml:space="preserve">Количество товаров категории «Топ»</t>
  </si>
  <si>
    <t xml:space="preserve">Сумма выручки товаров категории «Топ»</t>
  </si>
  <si>
    <t xml:space="preserve">Средняя выручка товаров категории «Средний»</t>
  </si>
  <si>
    <t xml:space="preserve">Количество товаров категории «Средний»</t>
  </si>
  <si>
    <t xml:space="preserve">Количество товаров категории «Низкий»</t>
  </si>
  <si>
    <t xml:space="preserve">7. Корреляция между ценой и количеством проданных штук (КОРРЕЛ)</t>
  </si>
  <si>
    <t xml:space="preserve">Коэффициент корреляции (Цена ↔ Продано)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</si>
</sst>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&quot; руб.&quot;"/>
  </numFmts>
  <fonts count="4">
    <font>
      <sz val="11.000000"/>
      <color theme="1"/>
      <name val="Calibri"/>
      <scheme val="minor"/>
    </font>
    <font>
      <b/>
      <sz val="14.000000"/>
      <color rgb="FF1F4E79"/>
    </font>
    <font>
      <b/>
      <sz val="11.000000"/>
      <color indexed="65"/>
      <name val="Calibri"/>
    </font>
    <font>
      <b/>
      <sz val="11.000000"/>
      <color rgb="FF1F4E7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8EA9DB"/>
      </left>
      <right style="thin">
        <color rgb="FF8EA9DB"/>
      </right>
      <top style="thin">
        <color rgb="FF8EA9DB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 quotePrefix="0" pivotButton="0"/>
    <xf fontId="1" fillId="0" borderId="0" numFmtId="0" xfId="0" applyFont="1" applyAlignment="1" quotePrefix="0" pivotButton="0">
      <alignment horizontal="left" vertical="center"/>
    </xf>
    <xf fontId="2" fillId="2" borderId="1" numFmtId="0" xfId="0" applyFont="1" applyFill="1" applyBorder="1" applyAlignment="1" quotePrefix="0" pivotButton="0">
      <alignment horizontal="center" vertical="center" wrapText="1"/>
    </xf>
    <xf fontId="0" fillId="0" borderId="2" numFmtId="0" xfId="0" applyBorder="1" applyAlignment="1" quotePrefix="0" pivotButton="0">
      <alignment horizontal="center" vertical="center" wrapText="1"/>
    </xf>
    <xf fontId="0" fillId="0" borderId="2" numFmtId="0" xfId="0" applyBorder="1" applyAlignment="1" quotePrefix="0" pivotButton="0">
      <alignment horizontal="left" vertical="center"/>
    </xf>
    <xf fontId="0" fillId="0" borderId="2" numFmtId="1" xfId="0" applyNumberFormat="1" applyBorder="1" applyAlignment="1" quotePrefix="0" pivotButton="0">
      <alignment horizontal="center" vertical="center" wrapText="1"/>
    </xf>
    <xf fontId="0" fillId="0" borderId="2" numFmtId="164" xfId="0" applyNumberFormat="1" applyBorder="1" applyAlignment="1" quotePrefix="0" pivotButton="0">
      <alignment horizontal="center" vertical="center" wrapText="1"/>
    </xf>
    <xf fontId="3" fillId="3" borderId="2" numFmtId="0" xfId="0" applyFont="1" applyFill="1" applyBorder="1" applyAlignment="1" quotePrefix="0" pivotButton="0">
      <alignment horizontal="center" vertical="center" wrapText="1"/>
    </xf>
    <xf fontId="3" fillId="3" borderId="2" numFmtId="0" xfId="0" applyFont="1" applyFill="1" applyBorder="1" applyAlignment="1" quotePrefix="0" pivotButton="0">
      <alignment horizontal="left" vertical="center"/>
    </xf>
    <xf fontId="3" fillId="3" borderId="2" numFmtId="2" xfId="0" applyNumberFormat="1" applyFont="1" applyFill="1" applyBorder="1" applyAlignment="1" quotePrefix="0" pivotButton="0">
      <alignment horizontal="center" vertical="center" wrapText="1"/>
    </xf>
    <xf fontId="3" fillId="0" borderId="0" numFmtId="0" xfId="0" applyFont="1" quotePrefix="0" pivotButton="0"/>
    <xf fontId="0" fillId="0" borderId="2" numFmtId="2" xfId="0" applyNumberFormat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0" fillId="0" borderId="2" numFmtId="165" xfId="0" applyNumberFormat="1" applyBorder="1" applyAlignment="1" quotePrefix="0" pivotButton="0">
      <alignment horizontal="center" vertical="center" wrapText="1"/>
    </xf>
    <xf fontId="2" fillId="2" borderId="3" numFmtId="0" xfId="0" applyFont="1" applyFill="1" applyBorder="1" applyAlignment="1" quotePrefix="0" pivotButton="0">
      <alignment horizontal="center" vertical="center" wrapText="1"/>
    </xf>
    <xf fontId="0" fillId="0" borderId="3" numFmtId="0" xfId="0" applyBorder="1" applyAlignment="1" quotePrefix="0" pivotButton="0">
      <alignment horizontal="center" vertical="center" wrapText="1"/>
    </xf>
    <xf fontId="0" fillId="0" borderId="3" numFmtId="0" xfId="0" applyBorder="1" applyAlignment="1" quotePrefix="0" pivotButton="0">
      <alignment horizontal="left" vertical="center"/>
    </xf>
    <xf fontId="0" fillId="0" borderId="3" numFmtId="166" xfId="0" applyNumberFormat="1" applyBorder="1" applyAlignment="1" quotePrefix="0" pivotButton="0">
      <alignment horizontal="center" vertical="center" wrapText="1"/>
    </xf>
    <xf fontId="0" fillId="0" borderId="3" numFmtId="1" xfId="0" applyNumberFormat="1" applyBorder="1" applyAlignment="1" quotePrefix="0" pivotButton="0">
      <alignment horizontal="center" vertical="center" wrapText="1"/>
    </xf>
    <xf fontId="0" fillId="0" borderId="3" numFmtId="10" xfId="0" applyNumberFormat="1" applyBorder="1" applyAlignment="1" quotePrefix="0" pivotButton="0">
      <alignment horizontal="center" vertical="center" wrapText="1"/>
    </xf>
    <xf fontId="3" fillId="3" borderId="3" numFmtId="0" xfId="0" applyFont="1" applyFill="1" applyBorder="1" applyAlignment="1" quotePrefix="0" pivotButton="0">
      <alignment horizontal="center" vertical="center" wrapText="1"/>
    </xf>
    <xf fontId="3" fillId="3" borderId="3" numFmtId="166" xfId="0" applyNumberFormat="1" applyFont="1" applyFill="1" applyBorder="1" applyAlignment="1" quotePrefix="0" pivotButton="0">
      <alignment horizontal="center" vertical="center" wrapText="1"/>
    </xf>
    <xf fontId="3" fillId="3" borderId="3" numFmtId="1" xfId="0" applyNumberFormat="1" applyFont="1" applyFill="1" applyBorder="1" applyAlignment="1" quotePrefix="0" pivotButton="0">
      <alignment horizontal="center" vertical="center" wrapText="1"/>
    </xf>
    <xf fontId="3" fillId="3" borderId="3" numFmtId="10" xfId="0" applyNumberFormat="1" applyFont="1" applyFill="1" applyBorder="1" applyAlignment="1" quotePrefix="0" pivotButton="0">
      <alignment horizontal="center" vertical="center" wrapText="1"/>
    </xf>
    <xf fontId="0" fillId="0" borderId="3" numFmtId="4" xfId="0" applyNumberFormat="1" applyBorder="1" applyAlignment="1" quotePrefix="0" pivotButton="0">
      <alignment horizontal="center" vertical="center" wrapText="1"/>
    </xf>
    <xf fontId="0" fillId="0" borderId="3" numFmtId="165" xfId="0" applyNumberFormat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8"/>
    <col customWidth="1" min="2" max="2" width="24"/>
    <col customWidth="1" min="3" max="3" width="15"/>
    <col customWidth="1" min="4" max="4" width="16"/>
    <col customWidth="1" min="5" max="5" width="15"/>
    <col customWidth="1" min="6" max="7" width="14"/>
    <col customWidth="1" min="8" max="8" width="9"/>
    <col customWidth="1" min="9" max="9" width="8"/>
  </cols>
  <sheetData>
    <row r="1" ht="18.75">
      <c r="A1" s="1" t="s">
        <v>0</v>
      </c>
    </row>
    <row r="2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>
        <v>1</v>
      </c>
      <c r="B3" s="4" t="s">
        <v>10</v>
      </c>
      <c r="C3" s="5">
        <v>85</v>
      </c>
      <c r="D3" s="5">
        <v>78</v>
      </c>
      <c r="E3" s="5">
        <v>92</v>
      </c>
      <c r="F3" s="3">
        <f t="shared" ref="F3:F9" si="0">SUM(C3:E3)</f>
        <v>255</v>
      </c>
      <c r="G3" s="6">
        <f t="shared" ref="G3:G9" si="1">ROUND(AVERAGE(C3:E3),1)</f>
        <v>85</v>
      </c>
      <c r="H3" s="3" t="str">
        <f t="shared" ref="H3:H9" si="2">IF(F3&gt;=250,"5",IF(F3&gt;=210,"4",IF(F3&gt;=160,"3","2")))</f>
        <v>5</v>
      </c>
      <c r="I3" s="3">
        <f t="shared" ref="I3:I9" si="3">RANK(F3,$F$3:$F$17)</f>
        <v>6</v>
      </c>
    </row>
    <row r="4">
      <c r="A4" s="3">
        <v>2</v>
      </c>
      <c r="B4" s="4" t="s">
        <v>11</v>
      </c>
      <c r="C4" s="5">
        <v>72</v>
      </c>
      <c r="D4" s="5">
        <v>65</v>
      </c>
      <c r="E4" s="5">
        <v>80</v>
      </c>
      <c r="F4" s="3">
        <f t="shared" si="0"/>
        <v>217</v>
      </c>
      <c r="G4" s="6">
        <f t="shared" si="1"/>
        <v>72.299999999999997</v>
      </c>
      <c r="H4" s="3" t="str">
        <f t="shared" si="2"/>
        <v>4</v>
      </c>
      <c r="I4" s="3">
        <f t="shared" si="3"/>
        <v>10</v>
      </c>
    </row>
    <row r="5">
      <c r="A5" s="3">
        <v>3</v>
      </c>
      <c r="B5" s="4" t="s">
        <v>12</v>
      </c>
      <c r="C5" s="5">
        <v>95</v>
      </c>
      <c r="D5" s="5">
        <v>88</v>
      </c>
      <c r="E5" s="5">
        <v>98</v>
      </c>
      <c r="F5" s="3">
        <f t="shared" si="0"/>
        <v>281</v>
      </c>
      <c r="G5" s="6">
        <f t="shared" si="1"/>
        <v>93.700000000000003</v>
      </c>
      <c r="H5" s="3" t="str">
        <f t="shared" si="2"/>
        <v>5</v>
      </c>
      <c r="I5" s="3">
        <f t="shared" si="3"/>
        <v>2</v>
      </c>
    </row>
    <row r="6">
      <c r="A6" s="3">
        <v>4</v>
      </c>
      <c r="B6" s="4" t="s">
        <v>13</v>
      </c>
      <c r="C6" s="5">
        <v>65</v>
      </c>
      <c r="D6" s="5">
        <v>55</v>
      </c>
      <c r="E6" s="5">
        <v>70</v>
      </c>
      <c r="F6" s="3">
        <f t="shared" si="0"/>
        <v>190</v>
      </c>
      <c r="G6" s="6">
        <f t="shared" si="1"/>
        <v>63.299999999999997</v>
      </c>
      <c r="H6" s="3" t="str">
        <f t="shared" si="2"/>
        <v>3</v>
      </c>
      <c r="I6" s="3">
        <f t="shared" si="3"/>
        <v>13</v>
      </c>
    </row>
    <row r="7">
      <c r="A7" s="3">
        <v>5</v>
      </c>
      <c r="B7" s="4" t="s">
        <v>14</v>
      </c>
      <c r="C7" s="5">
        <v>78</v>
      </c>
      <c r="D7" s="5">
        <v>82</v>
      </c>
      <c r="E7" s="5">
        <v>85</v>
      </c>
      <c r="F7" s="3">
        <f t="shared" si="0"/>
        <v>245</v>
      </c>
      <c r="G7" s="6">
        <f t="shared" si="1"/>
        <v>81.700000000000003</v>
      </c>
      <c r="H7" s="3" t="str">
        <f t="shared" si="2"/>
        <v>4</v>
      </c>
      <c r="I7" s="3">
        <f t="shared" si="3"/>
        <v>7</v>
      </c>
    </row>
    <row r="8">
      <c r="A8" s="3">
        <v>6</v>
      </c>
      <c r="B8" s="4" t="s">
        <v>15</v>
      </c>
      <c r="C8" s="5">
        <v>88</v>
      </c>
      <c r="D8" s="5">
        <v>90</v>
      </c>
      <c r="E8" s="5">
        <v>95</v>
      </c>
      <c r="F8" s="3">
        <f t="shared" si="0"/>
        <v>273</v>
      </c>
      <c r="G8" s="6">
        <f t="shared" si="1"/>
        <v>91</v>
      </c>
      <c r="H8" s="3" t="str">
        <f t="shared" si="2"/>
        <v>5</v>
      </c>
      <c r="I8" s="3">
        <f t="shared" si="3"/>
        <v>4</v>
      </c>
    </row>
    <row r="9">
      <c r="A9" s="3">
        <v>7</v>
      </c>
      <c r="B9" s="4" t="s">
        <v>16</v>
      </c>
      <c r="C9" s="5">
        <v>65</v>
      </c>
      <c r="D9" s="5">
        <v>70</v>
      </c>
      <c r="E9" s="5">
        <v>68</v>
      </c>
      <c r="F9" s="3">
        <f t="shared" si="0"/>
        <v>203</v>
      </c>
      <c r="G9" s="6">
        <f t="shared" si="1"/>
        <v>67.700000000000003</v>
      </c>
      <c r="H9" s="3" t="str">
        <f t="shared" si="2"/>
        <v>3</v>
      </c>
      <c r="I9" s="3">
        <f t="shared" si="3"/>
        <v>12</v>
      </c>
    </row>
    <row r="10">
      <c r="A10" s="3">
        <v>8</v>
      </c>
      <c r="B10" s="4" t="s">
        <v>17</v>
      </c>
      <c r="C10" s="5">
        <v>92</v>
      </c>
      <c r="D10" s="5">
        <v>85</v>
      </c>
      <c r="E10" s="5">
        <v>88</v>
      </c>
      <c r="F10" s="3">
        <f t="shared" ref="F10:F17" si="4">SUM(C10:E10)</f>
        <v>265</v>
      </c>
      <c r="G10" s="6">
        <f t="shared" ref="G10:G17" si="5">ROUND(AVERAGE(C10:E10),1)</f>
        <v>88.299999999999997</v>
      </c>
      <c r="H10" s="3" t="str">
        <f t="shared" ref="H10:H17" si="6">IF(F10&gt;=250,"5",IF(F10&gt;=210,"4",IF(F10&gt;=160,"3","2")))</f>
        <v>5</v>
      </c>
      <c r="I10" s="3">
        <f t="shared" ref="I10:I17" si="7">RANK(F10,$F$3:$F$17)</f>
        <v>5</v>
      </c>
    </row>
    <row r="11">
      <c r="A11" s="3">
        <v>9</v>
      </c>
      <c r="B11" s="4" t="s">
        <v>18</v>
      </c>
      <c r="C11" s="5">
        <v>55</v>
      </c>
      <c r="D11" s="5">
        <v>60</v>
      </c>
      <c r="E11" s="5">
        <v>58</v>
      </c>
      <c r="F11" s="3">
        <f t="shared" si="4"/>
        <v>173</v>
      </c>
      <c r="G11" s="6">
        <f t="shared" si="5"/>
        <v>57.700000000000003</v>
      </c>
      <c r="H11" s="3" t="str">
        <f t="shared" si="6"/>
        <v>3</v>
      </c>
      <c r="I11" s="3">
        <f t="shared" si="7"/>
        <v>15</v>
      </c>
    </row>
    <row r="12">
      <c r="A12" s="3">
        <v>10</v>
      </c>
      <c r="B12" s="4" t="s">
        <v>19</v>
      </c>
      <c r="C12" s="5">
        <v>80</v>
      </c>
      <c r="D12" s="5">
        <v>75</v>
      </c>
      <c r="E12" s="5">
        <v>82</v>
      </c>
      <c r="F12" s="3">
        <f t="shared" si="4"/>
        <v>237</v>
      </c>
      <c r="G12" s="6">
        <f t="shared" si="5"/>
        <v>79</v>
      </c>
      <c r="H12" s="3" t="str">
        <f t="shared" si="6"/>
        <v>4</v>
      </c>
      <c r="I12" s="3">
        <f t="shared" si="7"/>
        <v>8</v>
      </c>
    </row>
    <row r="13">
      <c r="A13" s="3">
        <v>11</v>
      </c>
      <c r="B13" s="4" t="s">
        <v>20</v>
      </c>
      <c r="C13" s="5">
        <v>70</v>
      </c>
      <c r="D13" s="5">
        <v>68</v>
      </c>
      <c r="E13" s="5">
        <v>72</v>
      </c>
      <c r="F13" s="3">
        <f t="shared" si="4"/>
        <v>210</v>
      </c>
      <c r="G13" s="6">
        <f t="shared" si="5"/>
        <v>70</v>
      </c>
      <c r="H13" s="3" t="str">
        <f t="shared" si="6"/>
        <v>4</v>
      </c>
      <c r="I13" s="3">
        <f t="shared" si="7"/>
        <v>11</v>
      </c>
    </row>
    <row r="14">
      <c r="A14" s="3">
        <v>12</v>
      </c>
      <c r="B14" s="4" t="s">
        <v>21</v>
      </c>
      <c r="C14" s="5">
        <v>90</v>
      </c>
      <c r="D14" s="5">
        <v>92</v>
      </c>
      <c r="E14" s="5">
        <v>94</v>
      </c>
      <c r="F14" s="3">
        <f t="shared" si="4"/>
        <v>276</v>
      </c>
      <c r="G14" s="6">
        <f t="shared" si="5"/>
        <v>92</v>
      </c>
      <c r="H14" s="3" t="str">
        <f t="shared" si="6"/>
        <v>5</v>
      </c>
      <c r="I14" s="3">
        <f t="shared" si="7"/>
        <v>3</v>
      </c>
    </row>
    <row r="15">
      <c r="A15" s="3">
        <v>13</v>
      </c>
      <c r="B15" s="4" t="s">
        <v>22</v>
      </c>
      <c r="C15" s="5">
        <v>75</v>
      </c>
      <c r="D15" s="5">
        <v>78</v>
      </c>
      <c r="E15" s="5">
        <v>80</v>
      </c>
      <c r="F15" s="3">
        <f t="shared" si="4"/>
        <v>233</v>
      </c>
      <c r="G15" s="6">
        <f t="shared" si="5"/>
        <v>77.700000000000003</v>
      </c>
      <c r="H15" s="3" t="str">
        <f t="shared" si="6"/>
        <v>4</v>
      </c>
      <c r="I15" s="3">
        <f t="shared" si="7"/>
        <v>9</v>
      </c>
    </row>
    <row r="16">
      <c r="A16" s="3">
        <v>14</v>
      </c>
      <c r="B16" s="4" t="s">
        <v>23</v>
      </c>
      <c r="C16" s="5">
        <v>62</v>
      </c>
      <c r="D16" s="5">
        <v>58</v>
      </c>
      <c r="E16" s="5">
        <v>65</v>
      </c>
      <c r="F16" s="3">
        <f t="shared" si="4"/>
        <v>185</v>
      </c>
      <c r="G16" s="6">
        <f t="shared" si="5"/>
        <v>61.700000000000003</v>
      </c>
      <c r="H16" s="3" t="str">
        <f t="shared" si="6"/>
        <v>3</v>
      </c>
      <c r="I16" s="3">
        <f t="shared" si="7"/>
        <v>14</v>
      </c>
    </row>
    <row r="17">
      <c r="A17" s="3">
        <v>15</v>
      </c>
      <c r="B17" s="4" t="s">
        <v>24</v>
      </c>
      <c r="C17" s="5">
        <v>98</v>
      </c>
      <c r="D17" s="5">
        <v>95</v>
      </c>
      <c r="E17" s="5">
        <v>100</v>
      </c>
      <c r="F17" s="3">
        <f t="shared" si="4"/>
        <v>293</v>
      </c>
      <c r="G17" s="6">
        <f t="shared" si="5"/>
        <v>97.700000000000003</v>
      </c>
      <c r="H17" s="3" t="str">
        <f t="shared" si="6"/>
        <v>5</v>
      </c>
      <c r="I17" s="3">
        <f t="shared" si="7"/>
        <v>1</v>
      </c>
    </row>
    <row r="18">
      <c r="A18" s="7"/>
      <c r="B18" s="8" t="s">
        <v>25</v>
      </c>
      <c r="C18" s="7"/>
      <c r="D18" s="7"/>
      <c r="E18" s="7"/>
      <c r="F18" s="7">
        <f>SUM(F3:F17)</f>
        <v>3536</v>
      </c>
      <c r="G18" s="9">
        <f>ROUND(AVERAGE(G3:G17),2)</f>
        <v>78.590000000000003</v>
      </c>
      <c r="H18" s="7"/>
      <c r="I18" s="7"/>
    </row>
    <row r="20">
      <c r="A20" s="10" t="s">
        <v>26</v>
      </c>
    </row>
    <row r="21" ht="30" customHeight="1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</row>
    <row r="22">
      <c r="A22" s="4" t="s">
        <v>33</v>
      </c>
      <c r="B22" s="11">
        <f>SUM(F3:F17)</f>
        <v>3536</v>
      </c>
      <c r="C22" s="11">
        <f>SUM(G3:G17)</f>
        <v>1178.8000000000002</v>
      </c>
      <c r="D22" s="11">
        <f>SUM(C3:C17)</f>
        <v>1170</v>
      </c>
      <c r="E22" s="11">
        <f>SUM(D3:D17)</f>
        <v>1139</v>
      </c>
      <c r="F22" s="11">
        <f>SUM(E3:E17)</f>
        <v>1227</v>
      </c>
    </row>
    <row r="23">
      <c r="A23" s="4" t="s">
        <v>34</v>
      </c>
      <c r="B23" s="11">
        <f>AVERAGE(F3:F17)</f>
        <v>235.73333333333332</v>
      </c>
      <c r="C23" s="11">
        <f>AVERAGE(G3:G17)</f>
        <v>78.586666666666673</v>
      </c>
      <c r="D23" s="11">
        <f>AVERAGE(C3:C17)</f>
        <v>78</v>
      </c>
      <c r="E23" s="11">
        <f>AVERAGE(D3:D17)</f>
        <v>75.933333333333337</v>
      </c>
      <c r="F23" s="11">
        <f>AVERAGE(E3:E17)</f>
        <v>81.799999999999997</v>
      </c>
    </row>
    <row r="24">
      <c r="A24" s="4" t="s">
        <v>35</v>
      </c>
      <c r="B24" s="11">
        <f>MEDIAN(F3:F17)</f>
        <v>237</v>
      </c>
      <c r="C24" s="11">
        <f>MEDIAN(G3:G17)</f>
        <v>79</v>
      </c>
      <c r="D24" s="11">
        <f>MEDIAN(C3:C17)</f>
        <v>78</v>
      </c>
      <c r="E24" s="11">
        <f>MEDIAN(D3:D17)</f>
        <v>78</v>
      </c>
      <c r="F24" s="11">
        <f>MEDIAN(E3:E17)</f>
        <v>82</v>
      </c>
    </row>
    <row r="25">
      <c r="A25" s="4" t="s">
        <v>36</v>
      </c>
      <c r="B25" s="11" t="str">
        <f>IFERROR(MODE(F3:F17),"—")</f>
        <v>—</v>
      </c>
      <c r="C25" s="11" t="str">
        <f>IFERROR(MODE(G3:G17),"—")</f>
        <v>—</v>
      </c>
      <c r="D25" s="11">
        <f>IFERROR(MODE(C3:C17),"—")</f>
        <v>65</v>
      </c>
      <c r="E25" s="11">
        <f>IFERROR(MODE(D3:D17),"—")</f>
        <v>78</v>
      </c>
      <c r="F25" s="11">
        <f>IFERROR(MODE(E3:E17),"—")</f>
        <v>80</v>
      </c>
    </row>
    <row r="26">
      <c r="A26" s="4" t="s">
        <v>37</v>
      </c>
      <c r="B26" s="11">
        <f>MIN(F3:F17)</f>
        <v>173</v>
      </c>
      <c r="C26" s="11">
        <f>MIN(G3:G17)</f>
        <v>57.700000000000003</v>
      </c>
      <c r="D26" s="11">
        <f>MIN(C3:C17)</f>
        <v>55</v>
      </c>
      <c r="E26" s="11">
        <f>MIN(D3:D17)</f>
        <v>55</v>
      </c>
      <c r="F26" s="11">
        <f>MIN(E3:E17)</f>
        <v>58</v>
      </c>
    </row>
    <row r="27">
      <c r="A27" s="4" t="s">
        <v>38</v>
      </c>
      <c r="B27" s="11">
        <f>MAX(F3:F17)</f>
        <v>293</v>
      </c>
      <c r="C27" s="11">
        <f>MAX(G3:G17)</f>
        <v>97.700000000000003</v>
      </c>
      <c r="D27" s="11">
        <f>MAX(C3:C17)</f>
        <v>98</v>
      </c>
      <c r="E27" s="11">
        <f>MAX(D3:D17)</f>
        <v>95</v>
      </c>
      <c r="F27" s="11">
        <f>MAX(E3:E17)</f>
        <v>100</v>
      </c>
    </row>
    <row r="28">
      <c r="A28" s="4" t="s">
        <v>39</v>
      </c>
      <c r="B28" s="11">
        <f>STDEV.S(F3:F17)</f>
        <v>38.122859034342916</v>
      </c>
      <c r="C28" s="11">
        <f>STDEV.S(G3:G17)</f>
        <v>12.707526828428813</v>
      </c>
      <c r="D28" s="11">
        <f>STDEV.S(C3:C17)</f>
        <v>13.131206015769131</v>
      </c>
      <c r="E28" s="11">
        <f>STDEV.S(D3:D17)</f>
        <v>12.886685635440429</v>
      </c>
      <c r="F28" s="11">
        <f>STDEV.S(E3:E17)</f>
        <v>12.957071979645491</v>
      </c>
    </row>
    <row r="29">
      <c r="A29" s="4" t="s">
        <v>40</v>
      </c>
      <c r="B29" s="11">
        <f>VAR.S(F3:F17)</f>
        <v>1453.3523809523813</v>
      </c>
      <c r="C29" s="11">
        <f>VAR.S(G3:G17)</f>
        <v>161.48123809523807</v>
      </c>
      <c r="D29" s="11">
        <f>VAR.S(C3:C17)</f>
        <v>172.42857142857142</v>
      </c>
      <c r="E29" s="11">
        <f>VAR.S(D3:D17)</f>
        <v>166.06666666666669</v>
      </c>
      <c r="F29" s="11">
        <f>VAR.S(E3:E17)</f>
        <v>167.8857142857143</v>
      </c>
    </row>
    <row r="30">
      <c r="A30" s="4" t="s">
        <v>41</v>
      </c>
      <c r="B30" s="11">
        <f>COUNT(F3:F17)</f>
        <v>15</v>
      </c>
      <c r="C30" s="11">
        <f>COUNT(G3:G17)</f>
        <v>15</v>
      </c>
      <c r="D30" s="11">
        <f>COUNT(C3:C17)</f>
        <v>15</v>
      </c>
      <c r="E30" s="11">
        <f>COUNT(D3:D17)</f>
        <v>15</v>
      </c>
      <c r="F30" s="11">
        <f>COUNT(E3:E17)</f>
        <v>15</v>
      </c>
    </row>
    <row r="31" ht="14.25">
      <c r="A31" s="12"/>
      <c r="B31" s="12"/>
      <c r="C31" s="12"/>
      <c r="D31" s="12"/>
      <c r="E31" s="12"/>
      <c r="F31" s="12"/>
    </row>
    <row r="32">
      <c r="A32" s="4" t="s">
        <v>42</v>
      </c>
      <c r="B32" s="13">
        <f>CORREL(C3:C17,G3:G17)</f>
        <v>0.98706734244689054</v>
      </c>
      <c r="C32" s="12"/>
      <c r="D32" s="12"/>
      <c r="E32" s="12"/>
      <c r="F32" s="12"/>
    </row>
  </sheetData>
  <mergeCells count="1">
    <mergeCell ref="A1:I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20.7109375"/>
    <col customWidth="1" min="2" max="2" width="22"/>
    <col customWidth="1" min="3" max="3" width="14"/>
    <col customWidth="1" min="4" max="5" width="15"/>
    <col customWidth="1" min="6" max="6" width="12"/>
    <col customWidth="1" min="7" max="7" width="14"/>
    <col customWidth="1" min="8" max="8" width="12"/>
  </cols>
  <sheetData>
    <row r="1" ht="18.75">
      <c r="A1" s="1" t="s">
        <v>43</v>
      </c>
    </row>
    <row r="2" ht="42" customHeight="1">
      <c r="A2" s="14" t="s">
        <v>1</v>
      </c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4" t="s">
        <v>50</v>
      </c>
    </row>
    <row r="3">
      <c r="A3" s="15">
        <v>1</v>
      </c>
      <c r="B3" s="16" t="s">
        <v>51</v>
      </c>
      <c r="C3" s="17">
        <v>45000</v>
      </c>
      <c r="D3" s="18">
        <v>12</v>
      </c>
      <c r="E3" s="17">
        <f t="shared" ref="E3:E9" si="8">C3*D3</f>
        <v>540000</v>
      </c>
      <c r="F3" s="15" t="str">
        <f t="shared" ref="F3:F9" si="9">IF(E3&gt;100000,"Топ",IF(E3&gt;50000,"Средний","Низкий"))</f>
        <v>Топ</v>
      </c>
      <c r="G3" s="19">
        <f t="shared" ref="G3:G9" si="10">E3/$E$18</f>
        <v>0.28600180075207882</v>
      </c>
      <c r="H3" s="15">
        <f t="shared" ref="H3:H9" si="11">RANK(E3,$E$3:$E$17)</f>
        <v>1</v>
      </c>
    </row>
    <row r="4">
      <c r="A4" s="15">
        <v>2</v>
      </c>
      <c r="B4" s="16" t="s">
        <v>52</v>
      </c>
      <c r="C4" s="17">
        <v>18000</v>
      </c>
      <c r="D4" s="18">
        <v>25</v>
      </c>
      <c r="E4" s="17">
        <f t="shared" si="8"/>
        <v>450000</v>
      </c>
      <c r="F4" s="15" t="str">
        <f t="shared" si="9"/>
        <v>Топ</v>
      </c>
      <c r="G4" s="19">
        <f t="shared" si="10"/>
        <v>0.23833483396006566</v>
      </c>
      <c r="H4" s="15">
        <f t="shared" si="11"/>
        <v>2</v>
      </c>
    </row>
    <row r="5">
      <c r="A5" s="15">
        <v>3</v>
      </c>
      <c r="B5" s="16" t="s">
        <v>53</v>
      </c>
      <c r="C5" s="17">
        <v>1500</v>
      </c>
      <c r="D5" s="18">
        <v>60</v>
      </c>
      <c r="E5" s="17">
        <f t="shared" si="8"/>
        <v>90000</v>
      </c>
      <c r="F5" s="15" t="str">
        <f t="shared" si="9"/>
        <v>Средний</v>
      </c>
      <c r="G5" s="19">
        <f t="shared" si="10"/>
        <v>4.7666966792013134e-002</v>
      </c>
      <c r="H5" s="15">
        <f t="shared" si="11"/>
        <v>5</v>
      </c>
    </row>
    <row r="6">
      <c r="A6" s="15">
        <v>4</v>
      </c>
      <c r="B6" s="16" t="s">
        <v>54</v>
      </c>
      <c r="C6" s="17">
        <v>800</v>
      </c>
      <c r="D6" s="18">
        <v>85</v>
      </c>
      <c r="E6" s="17">
        <f t="shared" si="8"/>
        <v>68000</v>
      </c>
      <c r="F6" s="15" t="str">
        <f t="shared" si="9"/>
        <v>Средний</v>
      </c>
      <c r="G6" s="19">
        <f t="shared" si="10"/>
        <v>3.6015041576187699e-002</v>
      </c>
      <c r="H6" s="15">
        <f t="shared" si="11"/>
        <v>9</v>
      </c>
    </row>
    <row r="7">
      <c r="A7" s="15">
        <v>5</v>
      </c>
      <c r="B7" s="16" t="s">
        <v>55</v>
      </c>
      <c r="C7" s="17">
        <v>12000</v>
      </c>
      <c r="D7" s="18">
        <v>8</v>
      </c>
      <c r="E7" s="17">
        <f t="shared" si="8"/>
        <v>96000</v>
      </c>
      <c r="F7" s="15" t="str">
        <f t="shared" si="9"/>
        <v>Средний</v>
      </c>
      <c r="G7" s="19">
        <f t="shared" si="10"/>
        <v>5.0844764578147343e-002</v>
      </c>
      <c r="H7" s="15">
        <f t="shared" si="11"/>
        <v>4</v>
      </c>
    </row>
    <row r="8">
      <c r="A8" s="15">
        <v>6</v>
      </c>
      <c r="B8" s="16" t="s">
        <v>56</v>
      </c>
      <c r="C8" s="17">
        <v>9000</v>
      </c>
      <c r="D8" s="18">
        <v>6</v>
      </c>
      <c r="E8" s="17">
        <f t="shared" si="8"/>
        <v>54000</v>
      </c>
      <c r="F8" s="15" t="str">
        <f t="shared" si="9"/>
        <v>Средний</v>
      </c>
      <c r="G8" s="19">
        <f t="shared" si="10"/>
        <v>2.8600180075207881e-002</v>
      </c>
      <c r="H8" s="15">
        <f t="shared" si="11"/>
        <v>12</v>
      </c>
    </row>
    <row r="9">
      <c r="A9" s="15">
        <v>7</v>
      </c>
      <c r="B9" s="16" t="s">
        <v>57</v>
      </c>
      <c r="C9" s="17">
        <v>600</v>
      </c>
      <c r="D9" s="18">
        <v>120</v>
      </c>
      <c r="E9" s="17">
        <f t="shared" si="8"/>
        <v>72000</v>
      </c>
      <c r="F9" s="15" t="str">
        <f t="shared" si="9"/>
        <v>Средний</v>
      </c>
      <c r="G9" s="19">
        <f t="shared" si="10"/>
        <v>3.8133573433610506e-002</v>
      </c>
      <c r="H9" s="15">
        <f t="shared" si="11"/>
        <v>7</v>
      </c>
    </row>
    <row r="10">
      <c r="A10" s="15">
        <v>8</v>
      </c>
      <c r="B10" s="16" t="s">
        <v>58</v>
      </c>
      <c r="C10" s="17">
        <v>5500</v>
      </c>
      <c r="D10" s="18">
        <v>15</v>
      </c>
      <c r="E10" s="17">
        <f t="shared" ref="E10:E17" si="12">C10*D10</f>
        <v>82500</v>
      </c>
      <c r="F10" s="15" t="str">
        <f t="shared" ref="F10:F17" si="13">IF(E10&gt;100000,"Топ",IF(E10&gt;50000,"Средний","Низкий"))</f>
        <v>Средний</v>
      </c>
      <c r="G10" s="19">
        <f t="shared" ref="G10:G17" si="14">E10/$E$18</f>
        <v>4.3694719559345375e-002</v>
      </c>
      <c r="H10" s="15">
        <f t="shared" ref="H10:H17" si="15">RANK(E10,$E$3:$E$17)</f>
        <v>6</v>
      </c>
    </row>
    <row r="11">
      <c r="A11" s="15">
        <v>9</v>
      </c>
      <c r="B11" s="16" t="s">
        <v>59</v>
      </c>
      <c r="C11" s="17">
        <v>2800</v>
      </c>
      <c r="D11" s="18">
        <v>22</v>
      </c>
      <c r="E11" s="17">
        <f t="shared" si="12"/>
        <v>61600</v>
      </c>
      <c r="F11" s="15" t="str">
        <f t="shared" si="13"/>
        <v>Средний</v>
      </c>
      <c r="G11" s="19">
        <f t="shared" si="14"/>
        <v>3.2625390604311209e-002</v>
      </c>
      <c r="H11" s="15">
        <f t="shared" si="15"/>
        <v>11</v>
      </c>
    </row>
    <row r="12">
      <c r="A12" s="15">
        <v>10</v>
      </c>
      <c r="B12" s="16" t="s">
        <v>60</v>
      </c>
      <c r="C12" s="17">
        <v>3200</v>
      </c>
      <c r="D12" s="18">
        <v>35</v>
      </c>
      <c r="E12" s="17">
        <f t="shared" si="12"/>
        <v>112000</v>
      </c>
      <c r="F12" s="15" t="str">
        <f t="shared" si="13"/>
        <v>Топ</v>
      </c>
      <c r="G12" s="19">
        <f t="shared" si="14"/>
        <v>5.9318892007838568e-002</v>
      </c>
      <c r="H12" s="15">
        <f t="shared" si="15"/>
        <v>3</v>
      </c>
    </row>
    <row r="13">
      <c r="A13" s="15">
        <v>11</v>
      </c>
      <c r="B13" s="16" t="s">
        <v>61</v>
      </c>
      <c r="C13" s="17">
        <v>400</v>
      </c>
      <c r="D13" s="18">
        <v>90</v>
      </c>
      <c r="E13" s="17">
        <f t="shared" si="12"/>
        <v>36000</v>
      </c>
      <c r="F13" s="15" t="str">
        <f t="shared" si="13"/>
        <v>Низкий</v>
      </c>
      <c r="G13" s="19">
        <f t="shared" si="14"/>
        <v>1.9066786716805253e-002</v>
      </c>
      <c r="H13" s="15">
        <f t="shared" si="15"/>
        <v>15</v>
      </c>
    </row>
    <row r="14">
      <c r="A14" s="15">
        <v>12</v>
      </c>
      <c r="B14" s="16" t="s">
        <v>62</v>
      </c>
      <c r="C14" s="17">
        <v>1200</v>
      </c>
      <c r="D14" s="18">
        <v>40</v>
      </c>
      <c r="E14" s="17">
        <f t="shared" si="12"/>
        <v>48000</v>
      </c>
      <c r="F14" s="15" t="str">
        <f t="shared" si="13"/>
        <v>Низкий</v>
      </c>
      <c r="G14" s="19">
        <f t="shared" si="14"/>
        <v>2.5422382289073672e-002</v>
      </c>
      <c r="H14" s="15">
        <f t="shared" si="15"/>
        <v>13</v>
      </c>
    </row>
    <row r="15">
      <c r="A15" s="15">
        <v>13</v>
      </c>
      <c r="B15" s="16" t="s">
        <v>63</v>
      </c>
      <c r="C15" s="17">
        <v>2500</v>
      </c>
      <c r="D15" s="18">
        <v>18</v>
      </c>
      <c r="E15" s="17">
        <f t="shared" si="12"/>
        <v>45000</v>
      </c>
      <c r="F15" s="15" t="str">
        <f t="shared" si="13"/>
        <v>Низкий</v>
      </c>
      <c r="G15" s="19">
        <f t="shared" si="14"/>
        <v>2.3833483396006567e-002</v>
      </c>
      <c r="H15" s="15">
        <f t="shared" si="15"/>
        <v>14</v>
      </c>
    </row>
    <row r="16">
      <c r="A16" s="15">
        <v>14</v>
      </c>
      <c r="B16" s="16" t="s">
        <v>64</v>
      </c>
      <c r="C16" s="17">
        <v>350</v>
      </c>
      <c r="D16" s="18">
        <v>200</v>
      </c>
      <c r="E16" s="17">
        <f t="shared" si="12"/>
        <v>70000</v>
      </c>
      <c r="F16" s="15" t="str">
        <f t="shared" si="13"/>
        <v>Средний</v>
      </c>
      <c r="G16" s="19">
        <f t="shared" si="14"/>
        <v>3.7074307504899102e-002</v>
      </c>
      <c r="H16" s="15">
        <f t="shared" si="15"/>
        <v>8</v>
      </c>
    </row>
    <row r="17">
      <c r="A17" s="15">
        <v>15</v>
      </c>
      <c r="B17" s="16" t="s">
        <v>65</v>
      </c>
      <c r="C17" s="17">
        <v>4500</v>
      </c>
      <c r="D17" s="18">
        <v>14</v>
      </c>
      <c r="E17" s="17">
        <f t="shared" si="12"/>
        <v>63000</v>
      </c>
      <c r="F17" s="15" t="str">
        <f t="shared" si="13"/>
        <v>Средний</v>
      </c>
      <c r="G17" s="19">
        <f t="shared" si="14"/>
        <v>3.3366876754409192e-002</v>
      </c>
      <c r="H17" s="15">
        <f t="shared" si="15"/>
        <v>10</v>
      </c>
    </row>
    <row r="18">
      <c r="A18" s="20"/>
      <c r="B18" s="20" t="s">
        <v>66</v>
      </c>
      <c r="C18" s="21">
        <f>SUM(C3:C17)</f>
        <v>107350</v>
      </c>
      <c r="D18" s="22">
        <f>SUM(D3:D17)</f>
        <v>750</v>
      </c>
      <c r="E18" s="21">
        <f>SUM(E3:E17)</f>
        <v>1888100</v>
      </c>
      <c r="F18" s="20"/>
      <c r="G18" s="23">
        <f>SUM(G3:G17)</f>
        <v>1</v>
      </c>
      <c r="H18" s="20"/>
    </row>
    <row r="20">
      <c r="A20" s="10" t="s">
        <v>67</v>
      </c>
    </row>
    <row r="21">
      <c r="A21" s="16" t="s">
        <v>33</v>
      </c>
      <c r="B21" s="24">
        <f>IFERROR(SUM($E$3:$E$17),"—")</f>
        <v>1888100</v>
      </c>
    </row>
    <row r="22">
      <c r="A22" s="16" t="s">
        <v>34</v>
      </c>
      <c r="B22" s="24">
        <f>IFERROR(AVERAGE($E$3:$E$17),"—")</f>
        <v>125873.33333333333</v>
      </c>
    </row>
    <row r="23">
      <c r="A23" s="16" t="s">
        <v>35</v>
      </c>
      <c r="B23" s="24">
        <f>IFERROR(MEDIAN($E$3:$E$17),"—")</f>
        <v>70000</v>
      </c>
    </row>
    <row r="24">
      <c r="A24" s="16" t="s">
        <v>36</v>
      </c>
      <c r="B24" s="24" t="str">
        <f>IFERROR(MODE($E$3:$E$17),"—")</f>
        <v>—</v>
      </c>
    </row>
    <row r="25">
      <c r="A25" s="16" t="s">
        <v>37</v>
      </c>
      <c r="B25" s="24">
        <f>IFERROR(MIN($E$3:$E$17),"—")</f>
        <v>36000</v>
      </c>
    </row>
    <row r="26">
      <c r="A26" s="16" t="s">
        <v>38</v>
      </c>
      <c r="B26" s="24">
        <f>IFERROR(MAX($E$3:$E$17),"—")</f>
        <v>540000</v>
      </c>
    </row>
    <row r="27">
      <c r="A27" s="16" t="s">
        <v>39</v>
      </c>
      <c r="B27" s="24">
        <f>IFERROR(STDEV.S($E$3:$E$17),"—")</f>
        <v>152155.31757604357</v>
      </c>
    </row>
    <row r="28">
      <c r="A28" s="16" t="s">
        <v>40</v>
      </c>
      <c r="B28" s="24">
        <f>IFERROR(VAR.S($E$3:$E$17),"—")</f>
        <v>23151240666.666676</v>
      </c>
    </row>
    <row r="31">
      <c r="A31" s="10" t="s">
        <v>68</v>
      </c>
    </row>
    <row r="32">
      <c r="A32" s="16" t="s">
        <v>69</v>
      </c>
      <c r="B32" s="18">
        <f>COUNTIF($F$3:$F$17,"Топ")</f>
        <v>3</v>
      </c>
    </row>
    <row r="33">
      <c r="A33" s="16" t="s">
        <v>70</v>
      </c>
      <c r="B33" s="24">
        <f>SUMIF($F$3:$F$17,"Топ",$E$3:$E$17)</f>
        <v>1102000</v>
      </c>
    </row>
    <row r="34">
      <c r="A34" s="16" t="s">
        <v>71</v>
      </c>
      <c r="B34" s="24">
        <f>AVERAGEIF($F$3:$F$17,"Средний",$E$3:$E$17)</f>
        <v>73011.111111111109</v>
      </c>
    </row>
    <row r="35">
      <c r="A35" s="16" t="s">
        <v>72</v>
      </c>
      <c r="B35" s="18">
        <f>COUNTIF($F$3:$F$17,"Средний")</f>
        <v>9</v>
      </c>
    </row>
    <row r="36">
      <c r="A36" s="16" t="s">
        <v>73</v>
      </c>
      <c r="B36" s="18">
        <f>COUNTIF($F$3:$F$17,"Низкий")</f>
        <v>3</v>
      </c>
    </row>
    <row r="39">
      <c r="A39" s="10" t="s">
        <v>74</v>
      </c>
    </row>
    <row r="40">
      <c r="A40" s="16" t="s">
        <v>75</v>
      </c>
      <c r="B40" s="25">
        <f>CORREL($C$3:$C$17,$D$3:$D$17)</f>
        <v>-0.3969483380652104</v>
      </c>
    </row>
  </sheetData>
  <mergeCells count="1">
    <mergeCell ref="A1:H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2026-09-30T08:18:45Z</dcterms:created>
  <dcterms:modified xsi:type="dcterms:W3CDTF">2026-09-30T08:21:39Z</dcterms:modified>
</cp:coreProperties>
</file>