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Математика" sheetId="1" state="visible" r:id="rId1"/>
    <sheet name="Самостоятельная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<sst xmlns="http://schemas.openxmlformats.org/spreadsheetml/2006/main" count="20" uniqueCount="20">
  <si>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 xml:space="preserve">№ детали</t>
  </si>
  <si>
    <t xml:space="preserve">Радиус R(мм)</t>
  </si>
  <si>
    <t xml:space="preserve">Высота h(мм)</t>
  </si>
  <si>
    <t xml:space="preserve">Масса m(кг)</t>
  </si>
  <si>
    <t xml:space="preserve">Длина L(мм)</t>
  </si>
  <si>
    <t>Диаметр(мм)</t>
  </si>
  <si>
    <t xml:space="preserve"> Объем(мм³)</t>
  </si>
  <si>
    <t>√V</t>
  </si>
  <si>
    <t xml:space="preserve"> |m − 3|</t>
  </si>
  <si>
    <t xml:space="preserve">Норма массы</t>
  </si>
  <si>
    <t xml:space="preserve">Длина дуги</t>
  </si>
  <si>
    <t xml:space="preserve">Дуга через РАДИАНЫ</t>
  </si>
  <si>
    <t>Параметр</t>
  </si>
  <si>
    <t xml:space="preserve">Значение / Формула</t>
  </si>
  <si>
    <t xml:space="preserve">Сумма кредита (A1)</t>
  </si>
  <si>
    <t xml:space="preserve">Годовая ставка (A2)</t>
  </si>
  <si>
    <t xml:space="preserve">Срок в годах (A3)</t>
  </si>
  <si>
    <t xml:space="preserve">Ежемесячный платеж (A4)</t>
  </si>
  <si>
    <t xml:space="preserve">Общая сумма выплат (A5)</t>
  </si>
  <si>
    <t xml:space="preserve">Переплата по кредиту (A6)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</si>
</sst>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0\ &quot;₽&quot;;[Red]\-#,##0.00\ &quot;₽&quot;"/>
  </numFmts>
  <fonts count="4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1.000000"/>
      <color theme="0" tint="0"/>
      <name val="Calibri"/>
      <scheme val="minor"/>
    </font>
    <font>
      <sz val="10.500000"/>
      <color rgb="FFFAFBFF"/>
      <name val="Arial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4" tint="-0.249977111117893"/>
        <bgColor theme="4" tint="-0.249977111117893"/>
      </patternFill>
    </fill>
  </fills>
  <borders count="4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2" borderId="1" numFmtId="0" applyNumberFormat="0" applyFont="1" applyFill="1" applyBorder="1"/>
  </cellStyleXfs>
  <cellXfs count="10">
    <xf fontId="0" fillId="0" borderId="0" numFmtId="0" xfId="0"/>
    <xf fontId="2" fillId="3" borderId="0" numFmtId="0" xfId="0" applyFont="1" applyFill="1" applyAlignment="1">
      <alignment horizontal="center"/>
    </xf>
    <xf fontId="3" fillId="3" borderId="0" numFmtId="0" xfId="0" applyFont="1" applyFill="1" applyAlignment="1">
      <alignment horizontal="center"/>
    </xf>
    <xf fontId="1" fillId="2" borderId="2" numFmtId="0" xfId="1" applyFont="1" applyFill="1" applyBorder="1" applyAlignment="1">
      <alignment horizontal="left"/>
    </xf>
    <xf fontId="2" fillId="3" borderId="0" numFmtId="0" xfId="0" applyFont="1" applyFill="1"/>
    <xf fontId="0" fillId="0" borderId="0" numFmtId="164" xfId="0" applyNumberFormat="1"/>
    <xf fontId="0" fillId="0" borderId="3" numFmtId="164" xfId="0" applyNumberFormat="1" applyBorder="1"/>
    <xf fontId="0" fillId="0" borderId="3" numFmtId="0" xfId="0" applyBorder="1"/>
    <xf fontId="0" fillId="0" borderId="0" numFmtId="9" xfId="0" applyNumberFormat="1"/>
    <xf fontId="0" fillId="0" borderId="0" numFmtId="165" xfId="0" applyNumberFormat="1"/>
  </cellXfs>
  <cellStyles count="2">
    <cellStyle name="Normal" xfId="0" builtinId="0"/>
    <cellStyle name="Check Cell" xfId="1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A1" activeCellId="0" sqref="A1"/>
    </sheetView>
  </sheetViews>
  <sheetFormatPr defaultRowHeight="14.25"/>
  <cols>
    <col customWidth="1" min="1" max="1" width="14.8515625"/>
    <col customWidth="1" min="2" max="2" width="14.28125"/>
    <col customWidth="1" min="3" max="3" width="15.8515625"/>
    <col customWidth="1" min="4" max="4" width="15.140625"/>
    <col customWidth="1" min="5" max="5" width="13.421875"/>
    <col customWidth="1" min="6" max="6" width="15.28125"/>
    <col customWidth="1" min="7" max="7" width="16.28125"/>
    <col customWidth="1" min="8" max="8" width="13.421875"/>
    <col customWidth="1" min="9" max="9" width="16.140625"/>
    <col customWidth="1" min="11" max="11" width="14.28125"/>
    <col customWidth="1" min="12" max="12" width="4.421875"/>
    <col customWidth="1" min="13" max="13" width="5.421875"/>
    <col customWidth="1" min="14" max="14" width="6.140625"/>
    <col customWidth="1" min="15" max="15" width="4.8515625"/>
    <col customWidth="1" min="16" max="18" width="4.7109375"/>
    <col customWidth="1" min="19" max="19" width="5.57421875"/>
    <col customWidth="1" min="20" max="20" width="14.28125"/>
    <col customWidth="1" min="21" max="21" width="5.57421875"/>
    <col customWidth="1" min="22" max="22" width="5.28125"/>
    <col customWidth="1" min="23" max="23" width="2.57421875"/>
    <col customWidth="1" min="24" max="24" width="12.00390625"/>
    <col customWidth="1" min="26" max="26" width="20.140625"/>
    <col customWidth="1" min="27" max="27" width="16.14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K1" s="3" t="s">
        <v>9</v>
      </c>
      <c r="T1">
        <v>100000</v>
      </c>
      <c r="X1" s="1" t="s">
        <v>10</v>
      </c>
      <c r="Y1">
        <v>60</v>
      </c>
      <c r="Z1" s="4" t="s">
        <v>11</v>
      </c>
      <c r="AA1" s="5">
        <f>SUM(D2:D8)</f>
        <v>21.799999999999997</v>
      </c>
    </row>
    <row r="2" ht="14.25">
      <c r="A2" s="6">
        <v>1</v>
      </c>
      <c r="B2" s="6">
        <v>12.5</v>
      </c>
      <c r="C2" s="6">
        <v>30</v>
      </c>
      <c r="D2" s="6">
        <v>2.3999999999999999</v>
      </c>
      <c r="E2" s="6">
        <v>145</v>
      </c>
      <c r="F2" s="7">
        <f>2*B2</f>
        <v>25</v>
      </c>
      <c r="G2" s="7">
        <f>PI()*B2^2*C2</f>
        <v>14726.215563702155</v>
      </c>
      <c r="H2" s="7">
        <f>SQRT(G2)</f>
        <v>121.3516195347312</v>
      </c>
      <c r="I2" s="6">
        <f>ABS(D2-$K$2)</f>
        <v>0.60000000000000009</v>
      </c>
      <c r="K2" s="7">
        <v>3</v>
      </c>
      <c r="T2" s="8">
        <v>0.12</v>
      </c>
      <c r="X2">
        <f>PI()*B2*$Y$1/180</f>
        <v>13.089969389957471</v>
      </c>
      <c r="Z2">
        <f>B2*RADIANS($Y$1)</f>
        <v>13.089969389957471</v>
      </c>
      <c r="AA2" s="5">
        <f>SUMIF(D2:D8,"&gt;2")</f>
        <v>18.100000000000001</v>
      </c>
    </row>
    <row r="3" ht="14.25">
      <c r="A3" s="6">
        <v>2</v>
      </c>
      <c r="B3" s="6">
        <v>8.3000000000000007</v>
      </c>
      <c r="C3" s="6">
        <v>25</v>
      </c>
      <c r="D3" s="6">
        <v>1.1000000000000001</v>
      </c>
      <c r="E3" s="6">
        <v>98</v>
      </c>
      <c r="F3" s="7">
        <f>2*B3</f>
        <v>16.600000000000001</v>
      </c>
      <c r="G3" s="7">
        <f>PI()*B3^2*C3</f>
        <v>5410.6079476450223</v>
      </c>
      <c r="H3" s="7">
        <f>SQRT(G3)</f>
        <v>73.556834812578927</v>
      </c>
      <c r="I3" s="6">
        <f>ABS(D3-$K$2)</f>
        <v>1.8999999999999999</v>
      </c>
      <c r="T3">
        <v>5</v>
      </c>
      <c r="X3">
        <f>PI()*B3*$Y$1/180</f>
        <v>8.6917396749317621</v>
      </c>
      <c r="Z3">
        <f>B3*RADIANS($Y$1)</f>
        <v>8.6917396749317604</v>
      </c>
      <c r="AA3">
        <f>SUMPRODUCT(D2:D8,E2:E8)/SUM(E2:E8)</f>
        <v>4.0744612928970474</v>
      </c>
    </row>
    <row r="4" ht="14.25">
      <c r="A4" s="6">
        <v>3</v>
      </c>
      <c r="B4" s="6">
        <v>15.699999999999999</v>
      </c>
      <c r="C4" s="6">
        <v>40</v>
      </c>
      <c r="D4" s="6">
        <v>4</v>
      </c>
      <c r="E4" s="6">
        <v>210</v>
      </c>
      <c r="F4" s="7">
        <f>2*B4</f>
        <v>31.399999999999999</v>
      </c>
      <c r="G4" s="7">
        <f>PI()*B4^2*C4</f>
        <v>30974.846927333921</v>
      </c>
      <c r="H4" s="7">
        <f>SQRT(G4)</f>
        <v>175.99672419489494</v>
      </c>
      <c r="I4" s="6">
        <f>ABS(D4-$K$2)</f>
        <v>1</v>
      </c>
      <c r="T4">
        <f>T1*POWER(1+T2,T3)</f>
        <v>176234.16832000008</v>
      </c>
      <c r="X4">
        <f>PI()*B4*$Y$1/180</f>
        <v>16.441001553786581</v>
      </c>
      <c r="Z4">
        <f>B4*RADIANS($Y$1)</f>
        <v>16.441001553786581</v>
      </c>
      <c r="AA4">
        <f>COUNTIF(D2:D8,"&gt;2")</f>
        <v>4</v>
      </c>
    </row>
    <row r="5" ht="14.25">
      <c r="A5" s="6">
        <v>4</v>
      </c>
      <c r="B5" s="6">
        <v>6.2000000000000002</v>
      </c>
      <c r="C5" s="6">
        <v>18</v>
      </c>
      <c r="D5" s="6">
        <v>0.69999999999999996</v>
      </c>
      <c r="E5" s="6">
        <v>75</v>
      </c>
      <c r="F5" s="7">
        <f>2*B5</f>
        <v>12.4</v>
      </c>
      <c r="G5" s="7">
        <f>PI()*B5^2*C5</f>
        <v>2173.7307888718501</v>
      </c>
      <c r="H5" s="7">
        <f>SQRT(G5)</f>
        <v>46.623285908136616</v>
      </c>
      <c r="I5" s="6">
        <f>ABS(D5-$K$2)</f>
        <v>2.2999999999999998</v>
      </c>
      <c r="T5">
        <f>T1*EXP(T2*T3)</f>
        <v>182211.88003905088</v>
      </c>
      <c r="X5">
        <f>PI()*B5*$Y$1/180</f>
        <v>6.4926248174189052</v>
      </c>
      <c r="Z5">
        <f>B5*RADIANS($Y$1)</f>
        <v>6.4926248174189052</v>
      </c>
      <c r="AA5" s="5">
        <f>AVERAGE(D2:D8)</f>
        <v>3.1142857142857139</v>
      </c>
    </row>
    <row r="6" ht="14.25">
      <c r="A6" s="6">
        <v>5</v>
      </c>
      <c r="B6" s="6">
        <v>20.100000000000001</v>
      </c>
      <c r="C6" s="6">
        <v>55</v>
      </c>
      <c r="D6" s="6">
        <v>6.5</v>
      </c>
      <c r="E6" s="6">
        <v>320</v>
      </c>
      <c r="F6" s="7">
        <f>2*B6</f>
        <v>40.200000000000003</v>
      </c>
      <c r="G6" s="7">
        <f>PI()*B6^2*C6</f>
        <v>69807.916638724681</v>
      </c>
      <c r="H6" s="7">
        <f>SQRT(G6)</f>
        <v>264.21187830740064</v>
      </c>
      <c r="I6" s="6">
        <f>ABS(D6-$K$2)</f>
        <v>3.5</v>
      </c>
      <c r="T6">
        <f>72/(T2*100)</f>
        <v>6</v>
      </c>
      <c r="X6">
        <f>PI()*B6*$Y$1/180</f>
        <v>21.048670779051616</v>
      </c>
      <c r="Z6">
        <f>B6*RADIANS($Y$1)</f>
        <v>21.048670779051616</v>
      </c>
      <c r="AA6" s="5">
        <f>MAX(D2:D8)</f>
        <v>6.5</v>
      </c>
    </row>
    <row r="7" ht="14.25">
      <c r="A7" s="6">
        <v>6</v>
      </c>
      <c r="B7" s="6">
        <v>10.4</v>
      </c>
      <c r="C7" s="6">
        <v>28</v>
      </c>
      <c r="D7" s="6">
        <v>1.8999999999999999</v>
      </c>
      <c r="E7" s="6">
        <v>130</v>
      </c>
      <c r="F7" s="7">
        <f>2*B7</f>
        <v>20.800000000000001</v>
      </c>
      <c r="G7" s="7">
        <f>PI()*B7^2*C7</f>
        <v>9514.250519543617</v>
      </c>
      <c r="H7" s="7">
        <f>SQRT(G7)</f>
        <v>97.541019676562826</v>
      </c>
      <c r="I7" s="6">
        <f>ABS(D7-$K$2)</f>
        <v>1.1000000000000001</v>
      </c>
      <c r="T7">
        <f>LN(2)/LN(1+T2)</f>
        <v>6.1162553741996994</v>
      </c>
      <c r="X7">
        <f>PI()*B7*$Y$1/180</f>
        <v>10.890854532444616</v>
      </c>
      <c r="Z7">
        <f>B7*RADIANS($Y$1)</f>
        <v>10.890854532444616</v>
      </c>
      <c r="AA7" s="5">
        <f>MIN(D2:D8)</f>
        <v>0.69999999999999996</v>
      </c>
    </row>
    <row r="8" ht="14.25">
      <c r="A8" s="6">
        <v>7</v>
      </c>
      <c r="B8" s="6">
        <v>18.899999999999999</v>
      </c>
      <c r="C8" s="6">
        <v>48</v>
      </c>
      <c r="D8" s="6">
        <v>5.2000000000000002</v>
      </c>
      <c r="E8" s="6">
        <v>275</v>
      </c>
      <c r="F8" s="7">
        <f>2*B8</f>
        <v>37.799999999999997</v>
      </c>
      <c r="G8" s="7">
        <f>PI()*B8^2*C8</f>
        <v>53865.998965862877</v>
      </c>
      <c r="H8" s="7">
        <f>SQRT(G8)</f>
        <v>232.09049736226359</v>
      </c>
      <c r="I8" s="6">
        <f>ABS(D8-$K$2)</f>
        <v>2.2000000000000002</v>
      </c>
      <c r="X8">
        <f>PI()*B8*$Y$1/180</f>
        <v>19.792033717615695</v>
      </c>
      <c r="Z8">
        <f>B8*RADIANS($Y$1)</f>
        <v>19.792033717615695</v>
      </c>
    </row>
    <row r="10" ht="14.25">
      <c r="Z10">
        <f>DEGREES(PI()/3)</f>
        <v>59.999999999999993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7.140625"/>
    <col customWidth="1" min="2" max="2" width="26.7109375"/>
    <col customWidth="1" min="3" max="3" width="23.57421875"/>
  </cols>
  <sheetData>
    <row r="1">
      <c r="A1" s="1" t="s">
        <v>12</v>
      </c>
      <c r="B1" s="1" t="s">
        <v>13</v>
      </c>
    </row>
    <row r="2">
      <c r="A2" t="s">
        <v>14</v>
      </c>
      <c r="B2">
        <v>500000</v>
      </c>
    </row>
    <row r="3">
      <c r="A3" t="s">
        <v>15</v>
      </c>
      <c r="B3" s="8">
        <v>0.17999999999999999</v>
      </c>
    </row>
    <row r="4">
      <c r="A4" t="s">
        <v>16</v>
      </c>
      <c r="B4">
        <v>3</v>
      </c>
    </row>
    <row r="5">
      <c r="A5" t="s">
        <v>17</v>
      </c>
      <c r="B5" s="9">
        <f>PMT(B3/12,B4*12,-B2)</f>
        <v>18076.197767958507</v>
      </c>
    </row>
    <row r="6">
      <c r="A6" t="s">
        <v>18</v>
      </c>
      <c r="B6">
        <f>B5*B4*12</f>
        <v>650743.11964650615</v>
      </c>
    </row>
    <row r="7">
      <c r="A7" t="s">
        <v>19</v>
      </c>
      <c r="B7">
        <f>B6-B2</f>
        <v>150743.11964650615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Четвериков</dc:creator>
  <cp:revision>1</cp:revision>
  <dcterms:created xsi:type="dcterms:W3CDTF">2026-09-23T08:06:05Z</dcterms:created>
  <dcterms:modified xsi:type="dcterms:W3CDTF">2026-09-23T08:39:45Z</dcterms:modified>
</cp:coreProperties>
</file>